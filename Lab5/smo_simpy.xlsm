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task1" sheetId="2" r:id="rId1"/>
    <sheet name="task2" sheetId="4" r:id="rId2"/>
  </sheets>
  <functionGroups builtInGroupCount="18"/>
  <calcPr calcId="152511"/>
</workbook>
</file>

<file path=xl/calcChain.xml><?xml version="1.0" encoding="utf-8"?>
<calcChain xmlns="http://schemas.openxmlformats.org/spreadsheetml/2006/main">
  <c r="D2" i="2" l="1"/>
  <c r="B27" i="4" l="1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  <c r="K2" i="4"/>
  <c r="K3" i="4" s="1"/>
  <c r="K4" i="4" s="1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J2" i="4"/>
  <c r="J3" i="4" s="1"/>
  <c r="J4" i="4" s="1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F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" i="2"/>
  <c r="A2" i="2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D23" i="2" s="1"/>
  <c r="E23" i="2" s="1"/>
  <c r="A24" i="2"/>
  <c r="A25" i="2"/>
  <c r="A26" i="2"/>
  <c r="A2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 s="1"/>
  <c r="K20" i="2" s="1"/>
  <c r="K21" i="2" s="1"/>
  <c r="K22" i="2" s="1"/>
  <c r="K23" i="2" s="1"/>
  <c r="K24" i="2" s="1"/>
  <c r="K25" i="2" s="1"/>
  <c r="K26" i="2" s="1"/>
  <c r="K27" i="2" s="1"/>
  <c r="K3" i="2"/>
  <c r="J3" i="2"/>
  <c r="J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K2" i="2"/>
  <c r="J2" i="2"/>
  <c r="C27" i="2"/>
  <c r="D27" i="2"/>
  <c r="E27" i="2" s="1"/>
  <c r="C26" i="2"/>
  <c r="D26" i="2"/>
  <c r="E26" i="2" s="1"/>
  <c r="C25" i="2"/>
  <c r="D25" i="2"/>
  <c r="E25" i="2" s="1"/>
  <c r="C24" i="2"/>
  <c r="C23" i="2"/>
  <c r="C22" i="2"/>
  <c r="C21" i="2"/>
  <c r="C20" i="2"/>
  <c r="D20" i="2"/>
  <c r="E20" i="2" s="1"/>
  <c r="C19" i="2"/>
  <c r="D19" i="2" s="1"/>
  <c r="E19" i="2" s="1"/>
  <c r="C18" i="2"/>
  <c r="C17" i="2"/>
  <c r="C16" i="2"/>
  <c r="C15" i="2"/>
  <c r="C14" i="2"/>
  <c r="C13" i="2"/>
  <c r="D13" i="2" s="1"/>
  <c r="E13" i="2" s="1"/>
  <c r="C12" i="2"/>
  <c r="D12" i="2"/>
  <c r="E12" i="2" s="1"/>
  <c r="C11" i="2"/>
  <c r="D11" i="2"/>
  <c r="E11" i="2" s="1"/>
  <c r="C10" i="2"/>
  <c r="D10" i="2"/>
  <c r="E10" i="2" s="1"/>
  <c r="C9" i="2"/>
  <c r="D9" i="2"/>
  <c r="E9" i="2" s="1"/>
  <c r="C8" i="2"/>
  <c r="D8" i="2"/>
  <c r="E8" i="2" s="1"/>
  <c r="C7" i="2"/>
  <c r="D7" i="2"/>
  <c r="E7" i="2" s="1"/>
  <c r="C6" i="2"/>
  <c r="D6" i="2"/>
  <c r="E6" i="2" s="1"/>
  <c r="C5" i="2"/>
  <c r="D5" i="2"/>
  <c r="E5" i="2" s="1"/>
  <c r="C4" i="2"/>
  <c r="C3" i="2"/>
  <c r="C2" i="2"/>
  <c r="D3" i="2" l="1"/>
  <c r="E3" i="2" s="1"/>
  <c r="F3" i="2" s="1"/>
  <c r="G3" i="2" s="1"/>
  <c r="D15" i="2"/>
  <c r="E15" i="2" s="1"/>
  <c r="D4" i="2"/>
  <c r="E4" i="2" s="1"/>
  <c r="D17" i="2"/>
  <c r="E17" i="2" s="1"/>
  <c r="D18" i="2"/>
  <c r="E18" i="2" s="1"/>
  <c r="D14" i="2"/>
  <c r="E14" i="2" s="1"/>
  <c r="D24" i="2"/>
  <c r="E24" i="2" s="1"/>
  <c r="F24" i="2" s="1"/>
  <c r="G24" i="2" s="1"/>
  <c r="D16" i="2"/>
  <c r="E16" i="2" s="1"/>
  <c r="F16" i="2" s="1"/>
  <c r="D21" i="2"/>
  <c r="E21" i="2" s="1"/>
  <c r="F21" i="2" s="1"/>
  <c r="G21" i="2" s="1"/>
  <c r="E2" i="2"/>
  <c r="G2" i="2" s="1"/>
  <c r="D22" i="2"/>
  <c r="E22" i="2" s="1"/>
  <c r="F22" i="2" s="1"/>
  <c r="G22" i="2" s="1"/>
  <c r="F23" i="2"/>
  <c r="G23" i="2" s="1"/>
  <c r="F15" i="2"/>
  <c r="G15" i="2" s="1"/>
  <c r="F17" i="2"/>
  <c r="G17" i="2" s="1"/>
  <c r="F8" i="2"/>
  <c r="G8" i="2" s="1"/>
  <c r="F18" i="2"/>
  <c r="G18" i="2"/>
  <c r="F27" i="2"/>
  <c r="G27" i="2"/>
  <c r="F9" i="2"/>
  <c r="G9" i="2" s="1"/>
  <c r="F10" i="2"/>
  <c r="G10" i="2" s="1"/>
  <c r="F19" i="2"/>
  <c r="G19" i="2"/>
  <c r="F20" i="2"/>
  <c r="G20" i="2" s="1"/>
  <c r="F11" i="2"/>
  <c r="G11" i="2" s="1"/>
  <c r="F12" i="2"/>
  <c r="G12" i="2" s="1"/>
  <c r="F13" i="2"/>
  <c r="G13" i="2"/>
  <c r="F4" i="2"/>
  <c r="G4" i="2" s="1"/>
  <c r="F5" i="2"/>
  <c r="G5" i="2"/>
  <c r="F6" i="2"/>
  <c r="G6" i="2" s="1"/>
  <c r="F25" i="2"/>
  <c r="G25" i="2" s="1"/>
  <c r="F14" i="2"/>
  <c r="G14" i="2"/>
  <c r="F7" i="2"/>
  <c r="G7" i="2"/>
  <c r="F26" i="2"/>
  <c r="G26" i="2" s="1"/>
  <c r="G16" i="2" l="1"/>
</calcChain>
</file>

<file path=xl/sharedStrings.xml><?xml version="1.0" encoding="utf-8"?>
<sst xmlns="http://schemas.openxmlformats.org/spreadsheetml/2006/main" count="32" uniqueCount="22">
  <si>
    <t>lambda</t>
  </si>
  <si>
    <t>a</t>
  </si>
  <si>
    <t>b</t>
  </si>
  <si>
    <t>c</t>
  </si>
  <si>
    <t>m</t>
  </si>
  <si>
    <t>lamda</t>
  </si>
  <si>
    <t>P отказ</t>
  </si>
  <si>
    <t>P обсл</t>
  </si>
  <si>
    <t xml:space="preserve">отношение </t>
  </si>
  <si>
    <t>генерация</t>
  </si>
  <si>
    <t>lambda0</t>
  </si>
  <si>
    <t>T0</t>
  </si>
  <si>
    <t>Тобс</t>
  </si>
  <si>
    <t xml:space="preserve">mu </t>
  </si>
  <si>
    <t xml:space="preserve">rho </t>
  </si>
  <si>
    <t>квадратичный конгруэнтный метод</t>
  </si>
  <si>
    <t>Р простоя</t>
  </si>
  <si>
    <t>Р отказа</t>
  </si>
  <si>
    <t>n станций</t>
  </si>
  <si>
    <t>длина очереди</t>
  </si>
  <si>
    <t xml:space="preserve">Т </t>
  </si>
  <si>
    <t>Средняя длина очереди 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</si>
</sst>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29</xdr:row>
          <xdr:rowOff>47625</xdr:rowOff>
        </xdr:from>
        <xdr:to>
          <xdr:col>9</xdr:col>
          <xdr:colOff>962025</xdr:colOff>
          <xdr:row>34</xdr:row>
          <xdr:rowOff>38100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7"/>
  <sheetViews>
    <sheetView tabSelected="1" workbookViewId="0">
      <selection activeCell="P20" sqref="P20"/>
    </sheetView>
  </sheetViews>
  <sheetFormatPr defaultRowHeight="15" x14ac:dyDescent="0.25"/>
  <cols>
    <col min="4" max="4" width="12" bestFit="1" customWidth="1"/>
    <col min="5" max="5" width="12.85546875" customWidth="1"/>
    <col min="6" max="6" width="16" customWidth="1"/>
    <col min="7" max="7" width="13.7109375" customWidth="1"/>
  </cols>
  <sheetData>
    <row r="1" spans="1:19" x14ac:dyDescent="0.25">
      <c r="A1" t="s">
        <v>5</v>
      </c>
      <c r="B1" t="s">
        <v>12</v>
      </c>
      <c r="C1" t="s">
        <v>13</v>
      </c>
      <c r="D1" t="s">
        <v>14</v>
      </c>
      <c r="E1" t="s">
        <v>6</v>
      </c>
      <c r="F1" t="s">
        <v>7</v>
      </c>
      <c r="G1" t="s">
        <v>8</v>
      </c>
      <c r="J1" t="s">
        <v>9</v>
      </c>
    </row>
    <row r="2" spans="1:19" x14ac:dyDescent="0.25">
      <c r="A2">
        <f>J2/$S$4</f>
        <v>1.220703125E-4</v>
      </c>
      <c r="B2">
        <f>K2/$S$4</f>
        <v>2.9296874999999999E-4</v>
      </c>
      <c r="C2">
        <f t="shared" ref="C2:C27" si="0">1/B2</f>
        <v>3413.3333333333335</v>
      </c>
      <c r="D2">
        <f>A2/C2</f>
        <v>3.5762786865234374E-8</v>
      </c>
      <c r="E2">
        <f>D2/ (1+D2)</f>
        <v>3.5762785586257491E-8</v>
      </c>
      <c r="F2">
        <f>1-E2</f>
        <v>0.99999996423721438</v>
      </c>
      <c r="G2">
        <f>E2/F2</f>
        <v>3.5762786865234374E-8</v>
      </c>
      <c r="J2">
        <f>N4</f>
        <v>0.5</v>
      </c>
      <c r="K2">
        <f>O4</f>
        <v>1.2</v>
      </c>
      <c r="N2" t="s">
        <v>15</v>
      </c>
    </row>
    <row r="3" spans="1:19" x14ac:dyDescent="0.25">
      <c r="A3">
        <f t="shared" ref="A3:A27" si="1">J3/$S$4</f>
        <v>1.953125E-3</v>
      </c>
      <c r="B3">
        <f t="shared" ref="B3:B27" si="2">K3/$S$4</f>
        <v>4.8925781249999998E-3</v>
      </c>
      <c r="C3">
        <f t="shared" si="0"/>
        <v>204.39121756487026</v>
      </c>
      <c r="D3">
        <f t="shared" ref="D2:D27" si="3">A3/C3</f>
        <v>9.5558166503906246E-6</v>
      </c>
      <c r="E3">
        <f t="shared" ref="E3:E27" si="4">D3/ (1+D3)</f>
        <v>9.5557253376313366E-6</v>
      </c>
      <c r="F3">
        <f t="shared" ref="F3:F27" si="5">1-E3</f>
        <v>0.99999044427466233</v>
      </c>
      <c r="G3">
        <f t="shared" ref="G3:G27" si="6">E3/F3</f>
        <v>9.5558166503906246E-6</v>
      </c>
      <c r="J3">
        <f>MOD($P$4*J2^2+$Q$4*J2+$R$4,$S$4)</f>
        <v>8</v>
      </c>
      <c r="K3">
        <f>MOD($P$4*K2^2+$Q$4*K2+$R$4,$S$4)</f>
        <v>20.04</v>
      </c>
      <c r="N3" t="s">
        <v>10</v>
      </c>
      <c r="O3" t="s">
        <v>11</v>
      </c>
      <c r="P3" t="s">
        <v>1</v>
      </c>
      <c r="Q3" t="s">
        <v>2</v>
      </c>
      <c r="R3" t="s">
        <v>3</v>
      </c>
      <c r="S3" t="s">
        <v>4</v>
      </c>
    </row>
    <row r="4" spans="1:19" x14ac:dyDescent="0.25">
      <c r="A4">
        <f t="shared" si="1"/>
        <v>0.108154296875</v>
      </c>
      <c r="B4">
        <f t="shared" si="2"/>
        <v>0.62326406249999999</v>
      </c>
      <c r="C4">
        <f t="shared" si="0"/>
        <v>1.6044563775887528</v>
      </c>
      <c r="D4">
        <f t="shared" si="3"/>
        <v>6.7408686447143554E-2</v>
      </c>
      <c r="E4">
        <f t="shared" si="4"/>
        <v>6.3151712463117127E-2</v>
      </c>
      <c r="F4">
        <f t="shared" si="5"/>
        <v>0.93684828753688287</v>
      </c>
      <c r="G4">
        <f t="shared" si="6"/>
        <v>6.7408686447143554E-2</v>
      </c>
      <c r="J4">
        <f t="shared" ref="J4:J27" si="7">MOD($P$4*J3^2+$Q$4*J3+$R$4,$S$4)</f>
        <v>443</v>
      </c>
      <c r="K4">
        <f t="shared" ref="K4:K27" si="8">MOD($P$4*K3^2+$Q$4*K3+$R$4,$S$4)</f>
        <v>2552.8896</v>
      </c>
      <c r="N4">
        <v>0.5</v>
      </c>
      <c r="O4">
        <v>1.2</v>
      </c>
      <c r="P4">
        <v>6</v>
      </c>
      <c r="Q4">
        <v>7</v>
      </c>
      <c r="R4">
        <v>3</v>
      </c>
      <c r="S4">
        <v>4096</v>
      </c>
    </row>
    <row r="5" spans="1:19" x14ac:dyDescent="0.25">
      <c r="A5">
        <f t="shared" si="1"/>
        <v>0.23193359375</v>
      </c>
      <c r="B5">
        <f t="shared" si="2"/>
        <v>0.10964011937539908</v>
      </c>
      <c r="C5">
        <f t="shared" si="0"/>
        <v>9.1207489165173126</v>
      </c>
      <c r="D5">
        <f t="shared" si="3"/>
        <v>2.5429226905915314E-2</v>
      </c>
      <c r="E5">
        <f t="shared" si="4"/>
        <v>2.4798617241137487E-2</v>
      </c>
      <c r="F5">
        <f t="shared" si="5"/>
        <v>0.97520138275886248</v>
      </c>
      <c r="G5">
        <f t="shared" si="6"/>
        <v>2.5429226905915318E-2</v>
      </c>
      <c r="J5">
        <f t="shared" si="7"/>
        <v>950</v>
      </c>
      <c r="K5">
        <f t="shared" si="8"/>
        <v>449.08592896163464</v>
      </c>
    </row>
    <row r="6" spans="1:19" x14ac:dyDescent="0.25">
      <c r="A6">
        <f t="shared" si="1"/>
        <v>0.645751953125</v>
      </c>
      <c r="B6">
        <f t="shared" si="2"/>
        <v>0.1952224244964782</v>
      </c>
      <c r="C6">
        <f t="shared" si="0"/>
        <v>5.1223623647704466</v>
      </c>
      <c r="D6">
        <f t="shared" si="3"/>
        <v>0.12606526191239864</v>
      </c>
      <c r="E6">
        <f t="shared" si="4"/>
        <v>0.11195200329535235</v>
      </c>
      <c r="F6">
        <f t="shared" si="5"/>
        <v>0.88804799670464762</v>
      </c>
      <c r="G6">
        <f t="shared" si="6"/>
        <v>0.12606526191239867</v>
      </c>
      <c r="J6">
        <f t="shared" si="7"/>
        <v>2645</v>
      </c>
      <c r="K6">
        <f t="shared" si="8"/>
        <v>799.6310507375747</v>
      </c>
    </row>
    <row r="7" spans="1:19" x14ac:dyDescent="0.25">
      <c r="A7">
        <f t="shared" si="1"/>
        <v>0.6044921875</v>
      </c>
      <c r="B7">
        <f t="shared" si="2"/>
        <v>2.7639592846071537E-3</v>
      </c>
      <c r="C7">
        <f t="shared" si="0"/>
        <v>361.79983025405954</v>
      </c>
      <c r="D7">
        <f t="shared" si="3"/>
        <v>1.6707917941131134E-3</v>
      </c>
      <c r="E7">
        <f t="shared" si="4"/>
        <v>1.6680049052049564E-3</v>
      </c>
      <c r="F7">
        <f t="shared" si="5"/>
        <v>0.99833199509479509</v>
      </c>
      <c r="G7">
        <f t="shared" si="6"/>
        <v>1.6707917941131132E-3</v>
      </c>
      <c r="J7">
        <f t="shared" si="7"/>
        <v>2476</v>
      </c>
      <c r="K7">
        <f t="shared" si="8"/>
        <v>11.321177229750901</v>
      </c>
    </row>
    <row r="8" spans="1:19" x14ac:dyDescent="0.25">
      <c r="A8">
        <f t="shared" si="1"/>
        <v>0.568115234375</v>
      </c>
      <c r="B8">
        <f t="shared" si="2"/>
        <v>0.20782777436836869</v>
      </c>
      <c r="C8">
        <f t="shared" si="0"/>
        <v>4.8116764135073167</v>
      </c>
      <c r="D8">
        <f t="shared" si="3"/>
        <v>0.11807012474492039</v>
      </c>
      <c r="E8">
        <f t="shared" si="4"/>
        <v>0.10560171686177308</v>
      </c>
      <c r="F8">
        <f t="shared" si="5"/>
        <v>0.89439828313822689</v>
      </c>
      <c r="G8">
        <f t="shared" si="6"/>
        <v>0.1180701247449204</v>
      </c>
      <c r="J8">
        <f t="shared" si="7"/>
        <v>2327</v>
      </c>
      <c r="K8">
        <f t="shared" si="8"/>
        <v>851.26256381283815</v>
      </c>
    </row>
    <row r="9" spans="1:19" x14ac:dyDescent="0.25">
      <c r="A9">
        <f t="shared" si="1"/>
        <v>2.44140625E-3</v>
      </c>
      <c r="B9">
        <f t="shared" si="2"/>
        <v>0.9515510844551045</v>
      </c>
      <c r="C9">
        <f t="shared" si="0"/>
        <v>1.0509157273176135</v>
      </c>
      <c r="D9">
        <f t="shared" si="3"/>
        <v>2.32312276478297E-3</v>
      </c>
      <c r="E9">
        <f t="shared" si="4"/>
        <v>2.3177383740035115E-3</v>
      </c>
      <c r="F9">
        <f t="shared" si="5"/>
        <v>0.99768226162599649</v>
      </c>
      <c r="G9">
        <f t="shared" si="6"/>
        <v>2.32312276478297E-3</v>
      </c>
      <c r="J9">
        <f t="shared" si="7"/>
        <v>10</v>
      </c>
      <c r="K9">
        <f t="shared" si="8"/>
        <v>3897.553241928108</v>
      </c>
    </row>
    <row r="10" spans="1:19" x14ac:dyDescent="0.25">
      <c r="A10">
        <f t="shared" si="1"/>
        <v>0.164306640625</v>
      </c>
      <c r="B10">
        <f t="shared" si="2"/>
        <v>0.98767448225771659</v>
      </c>
      <c r="C10">
        <f t="shared" si="0"/>
        <v>1.0124793319698902</v>
      </c>
      <c r="D10">
        <f t="shared" si="3"/>
        <v>0.16228147621080158</v>
      </c>
      <c r="E10">
        <f t="shared" si="4"/>
        <v>0.13962321479979328</v>
      </c>
      <c r="F10">
        <f t="shared" si="5"/>
        <v>0.86037678520020666</v>
      </c>
      <c r="G10">
        <f t="shared" si="6"/>
        <v>0.16228147621080158</v>
      </c>
      <c r="J10">
        <f t="shared" si="7"/>
        <v>673</v>
      </c>
      <c r="K10">
        <f t="shared" si="8"/>
        <v>4045.5146793276072</v>
      </c>
    </row>
    <row r="11" spans="1:19" x14ac:dyDescent="0.25">
      <c r="A11">
        <f t="shared" si="1"/>
        <v>0.62109375</v>
      </c>
      <c r="B11">
        <f t="shared" si="2"/>
        <v>0.82415202299671364</v>
      </c>
      <c r="C11">
        <f t="shared" si="0"/>
        <v>1.2133683739122334</v>
      </c>
      <c r="D11">
        <f t="shared" si="3"/>
        <v>0.51187567053311511</v>
      </c>
      <c r="E11">
        <f t="shared" si="4"/>
        <v>0.33856995023447817</v>
      </c>
      <c r="F11">
        <f t="shared" si="5"/>
        <v>0.66143004976552189</v>
      </c>
      <c r="G11">
        <f t="shared" si="6"/>
        <v>0.511875670533115</v>
      </c>
      <c r="J11">
        <f t="shared" si="7"/>
        <v>2544</v>
      </c>
      <c r="K11">
        <f t="shared" si="8"/>
        <v>3375.7266861945391</v>
      </c>
    </row>
    <row r="12" spans="1:19" x14ac:dyDescent="0.25">
      <c r="A12">
        <f t="shared" si="1"/>
        <v>0.723388671875</v>
      </c>
      <c r="B12">
        <f t="shared" si="2"/>
        <v>0.44166165018032189</v>
      </c>
      <c r="C12">
        <f t="shared" si="0"/>
        <v>2.2641766601010511</v>
      </c>
      <c r="D12">
        <f t="shared" si="3"/>
        <v>0.3194930345420639</v>
      </c>
      <c r="E12">
        <f t="shared" si="4"/>
        <v>0.24213317249753077</v>
      </c>
      <c r="F12">
        <f t="shared" si="5"/>
        <v>0.75786682750246925</v>
      </c>
      <c r="G12">
        <f t="shared" si="6"/>
        <v>0.3194930345420639</v>
      </c>
      <c r="J12">
        <f t="shared" si="7"/>
        <v>2963</v>
      </c>
      <c r="K12">
        <f t="shared" si="8"/>
        <v>1809.0461191385984</v>
      </c>
    </row>
    <row r="13" spans="1:19" x14ac:dyDescent="0.25">
      <c r="A13">
        <f t="shared" si="1"/>
        <v>0.46826171875</v>
      </c>
      <c r="B13">
        <f t="shared" si="2"/>
        <v>1.0129359500751889E-2</v>
      </c>
      <c r="C13">
        <f t="shared" si="0"/>
        <v>98.722925168740559</v>
      </c>
      <c r="D13">
        <f t="shared" si="3"/>
        <v>4.7431912896587214E-3</v>
      </c>
      <c r="E13">
        <f t="shared" si="4"/>
        <v>4.7207996339547233E-3</v>
      </c>
      <c r="F13">
        <f t="shared" si="5"/>
        <v>0.99527920036604522</v>
      </c>
      <c r="G13">
        <f t="shared" si="6"/>
        <v>4.7431912896587214E-3</v>
      </c>
      <c r="J13">
        <f t="shared" si="7"/>
        <v>1918</v>
      </c>
      <c r="K13">
        <f t="shared" si="8"/>
        <v>41.489856515079737</v>
      </c>
    </row>
    <row r="14" spans="1:19" x14ac:dyDescent="0.25">
      <c r="A14">
        <f t="shared" si="1"/>
        <v>3.4423828125E-2</v>
      </c>
      <c r="B14">
        <f t="shared" si="2"/>
        <v>0.5932319720353969</v>
      </c>
      <c r="C14">
        <f t="shared" si="0"/>
        <v>1.6856812295011168</v>
      </c>
      <c r="D14">
        <f t="shared" si="3"/>
        <v>2.0421315443601311E-2</v>
      </c>
      <c r="E14">
        <f t="shared" si="4"/>
        <v>2.00126311892296E-2</v>
      </c>
      <c r="F14">
        <f t="shared" si="5"/>
        <v>0.97998736881077042</v>
      </c>
      <c r="G14">
        <f t="shared" si="6"/>
        <v>2.0421315443601311E-2</v>
      </c>
      <c r="J14">
        <f t="shared" si="7"/>
        <v>141</v>
      </c>
      <c r="K14">
        <f t="shared" si="8"/>
        <v>2429.8781574569857</v>
      </c>
    </row>
    <row r="15" spans="1:19" x14ac:dyDescent="0.25">
      <c r="A15">
        <f t="shared" si="1"/>
        <v>0.3642578125</v>
      </c>
      <c r="B15">
        <f t="shared" si="2"/>
        <v>4.1823149787887814E-2</v>
      </c>
      <c r="C15">
        <f t="shared" si="0"/>
        <v>23.910202963469882</v>
      </c>
      <c r="D15">
        <f t="shared" si="3"/>
        <v>1.5234409053595854E-2</v>
      </c>
      <c r="E15">
        <f t="shared" si="4"/>
        <v>1.5005804489819656E-2</v>
      </c>
      <c r="F15">
        <f t="shared" si="5"/>
        <v>0.9849941955101803</v>
      </c>
      <c r="G15">
        <f t="shared" si="6"/>
        <v>1.5234409053595854E-2</v>
      </c>
      <c r="J15">
        <f t="shared" si="7"/>
        <v>1492</v>
      </c>
      <c r="K15">
        <f t="shared" si="8"/>
        <v>171.30762153118849</v>
      </c>
    </row>
    <row r="16" spans="1:19" x14ac:dyDescent="0.25">
      <c r="A16">
        <f t="shared" si="1"/>
        <v>0.386474609375</v>
      </c>
      <c r="B16">
        <f t="shared" si="2"/>
        <v>0.28124036102436634</v>
      </c>
      <c r="C16">
        <f t="shared" si="0"/>
        <v>3.5556774154238879</v>
      </c>
      <c r="D16">
        <f t="shared" si="3"/>
        <v>0.10869225866737595</v>
      </c>
      <c r="E16">
        <f t="shared" si="4"/>
        <v>9.8036454947400542E-2</v>
      </c>
      <c r="F16">
        <f t="shared" si="5"/>
        <v>0.90196354505259946</v>
      </c>
      <c r="G16">
        <f t="shared" si="6"/>
        <v>0.10869225866737595</v>
      </c>
      <c r="J16">
        <f t="shared" si="7"/>
        <v>1583</v>
      </c>
      <c r="K16">
        <f t="shared" si="8"/>
        <v>1151.9605187558045</v>
      </c>
    </row>
    <row r="17" spans="1:11" x14ac:dyDescent="0.25">
      <c r="A17">
        <f t="shared" si="1"/>
        <v>0.44189453125</v>
      </c>
      <c r="B17">
        <f t="shared" si="2"/>
        <v>0.83616803323820932</v>
      </c>
      <c r="C17">
        <f t="shared" si="0"/>
        <v>1.195931870448721</v>
      </c>
      <c r="D17">
        <f t="shared" si="3"/>
        <v>0.36949808109403293</v>
      </c>
      <c r="E17">
        <f t="shared" si="4"/>
        <v>0.26980547559355239</v>
      </c>
      <c r="F17">
        <f t="shared" si="5"/>
        <v>0.73019452440644761</v>
      </c>
      <c r="G17">
        <f t="shared" si="6"/>
        <v>0.36949808109403293</v>
      </c>
      <c r="J17">
        <f t="shared" si="7"/>
        <v>1810</v>
      </c>
      <c r="K17">
        <f t="shared" si="8"/>
        <v>3424.9442641437054</v>
      </c>
    </row>
    <row r="18" spans="1:11" x14ac:dyDescent="0.25">
      <c r="A18">
        <f t="shared" si="1"/>
        <v>6.8603515625E-2</v>
      </c>
      <c r="B18">
        <f t="shared" si="2"/>
        <v>0.82736445171030937</v>
      </c>
      <c r="C18">
        <f t="shared" si="0"/>
        <v>1.2086571980858281</v>
      </c>
      <c r="D18">
        <f t="shared" si="3"/>
        <v>5.6760110090477774E-2</v>
      </c>
      <c r="E18">
        <f t="shared" si="4"/>
        <v>5.3711442690260215E-2</v>
      </c>
      <c r="F18">
        <f t="shared" si="5"/>
        <v>0.94628855730973982</v>
      </c>
      <c r="G18">
        <f t="shared" si="6"/>
        <v>5.6760110090477774E-2</v>
      </c>
      <c r="J18">
        <f t="shared" si="7"/>
        <v>281</v>
      </c>
      <c r="K18">
        <f t="shared" si="8"/>
        <v>3388.8847942054272</v>
      </c>
    </row>
    <row r="19" spans="1:11" x14ac:dyDescent="0.25">
      <c r="A19">
        <f t="shared" si="1"/>
        <v>0.146484375</v>
      </c>
      <c r="B19">
        <f t="shared" si="2"/>
        <v>0.84914158691390185</v>
      </c>
      <c r="C19">
        <f t="shared" si="0"/>
        <v>1.1776599043209908</v>
      </c>
      <c r="D19">
        <f t="shared" si="3"/>
        <v>0.1243859746455911</v>
      </c>
      <c r="E19">
        <f t="shared" si="4"/>
        <v>0.11062569033271501</v>
      </c>
      <c r="F19">
        <f t="shared" si="5"/>
        <v>0.88937430966728503</v>
      </c>
      <c r="G19">
        <f t="shared" si="6"/>
        <v>0.1243859746455911</v>
      </c>
      <c r="J19">
        <f t="shared" si="7"/>
        <v>600</v>
      </c>
      <c r="K19">
        <f t="shared" si="8"/>
        <v>3478.083939999342</v>
      </c>
    </row>
    <row r="20" spans="1:11" x14ac:dyDescent="0.25">
      <c r="A20">
        <f t="shared" si="1"/>
        <v>0.369873046875</v>
      </c>
      <c r="B20">
        <f t="shared" si="2"/>
        <v>0.25902091505486169</v>
      </c>
      <c r="C20">
        <f t="shared" si="0"/>
        <v>3.8606920981195509</v>
      </c>
      <c r="D20">
        <f t="shared" si="3"/>
        <v>9.5804855055692251E-2</v>
      </c>
      <c r="E20">
        <f t="shared" si="4"/>
        <v>8.7428755780447009E-2</v>
      </c>
      <c r="F20">
        <f t="shared" si="5"/>
        <v>0.91257124421955305</v>
      </c>
      <c r="G20">
        <f t="shared" si="6"/>
        <v>9.5804855055692251E-2</v>
      </c>
      <c r="J20">
        <f t="shared" si="7"/>
        <v>1515</v>
      </c>
      <c r="K20">
        <f t="shared" si="8"/>
        <v>1060.9496680647135</v>
      </c>
    </row>
    <row r="21" spans="1:11" x14ac:dyDescent="0.25">
      <c r="A21">
        <f t="shared" si="1"/>
        <v>0.73583984375</v>
      </c>
      <c r="B21">
        <f t="shared" si="2"/>
        <v>0.66280192290241757</v>
      </c>
      <c r="C21">
        <f t="shared" si="0"/>
        <v>1.5087463772298486</v>
      </c>
      <c r="D21">
        <f t="shared" si="3"/>
        <v>0.48771606338571455</v>
      </c>
      <c r="E21">
        <f t="shared" si="4"/>
        <v>0.32782872712672073</v>
      </c>
      <c r="F21">
        <f t="shared" si="5"/>
        <v>0.67217127287327927</v>
      </c>
      <c r="G21">
        <f t="shared" si="6"/>
        <v>0.4877160633857146</v>
      </c>
      <c r="J21">
        <f t="shared" si="7"/>
        <v>3014</v>
      </c>
      <c r="K21">
        <f t="shared" si="8"/>
        <v>2714.8366762083024</v>
      </c>
    </row>
    <row r="22" spans="1:11" x14ac:dyDescent="0.25">
      <c r="A22">
        <f t="shared" si="1"/>
        <v>7.9345703125E-2</v>
      </c>
      <c r="B22">
        <f t="shared" si="2"/>
        <v>3.4162023415774456E-2</v>
      </c>
      <c r="C22">
        <f t="shared" si="0"/>
        <v>29.272270785290949</v>
      </c>
      <c r="D22">
        <f t="shared" si="3"/>
        <v>2.7106097680973384E-3</v>
      </c>
      <c r="E22">
        <f t="shared" si="4"/>
        <v>2.7032822248926206E-3</v>
      </c>
      <c r="F22">
        <f t="shared" si="5"/>
        <v>0.99729671777510742</v>
      </c>
      <c r="G22">
        <f t="shared" si="6"/>
        <v>2.7106097680973384E-3</v>
      </c>
      <c r="J22">
        <f t="shared" si="7"/>
        <v>325</v>
      </c>
      <c r="K22">
        <f t="shared" si="8"/>
        <v>139.92764791101217</v>
      </c>
    </row>
    <row r="23" spans="1:11" x14ac:dyDescent="0.25">
      <c r="A23">
        <f t="shared" si="1"/>
        <v>0.2802734375</v>
      </c>
      <c r="B23">
        <f t="shared" si="2"/>
        <v>0.92113609248686856</v>
      </c>
      <c r="C23">
        <f t="shared" si="0"/>
        <v>1.0856159129539871</v>
      </c>
      <c r="D23">
        <f t="shared" si="3"/>
        <v>0.25816997904661254</v>
      </c>
      <c r="E23">
        <f t="shared" si="4"/>
        <v>0.20519483324681034</v>
      </c>
      <c r="F23">
        <f t="shared" si="5"/>
        <v>0.79480516675318968</v>
      </c>
      <c r="G23">
        <f t="shared" si="6"/>
        <v>0.25816997904661249</v>
      </c>
      <c r="J23">
        <f t="shared" si="7"/>
        <v>1148</v>
      </c>
      <c r="K23">
        <f t="shared" si="8"/>
        <v>3772.9734348262136</v>
      </c>
    </row>
    <row r="24" spans="1:11" x14ac:dyDescent="0.25">
      <c r="A24">
        <f t="shared" si="1"/>
        <v>0.486083984375</v>
      </c>
      <c r="B24">
        <f t="shared" si="2"/>
        <v>0.9807259447479737</v>
      </c>
      <c r="C24">
        <f t="shared" si="0"/>
        <v>1.0196528452777696</v>
      </c>
      <c r="D24">
        <f t="shared" si="3"/>
        <v>0.47671517480303116</v>
      </c>
      <c r="E24">
        <f t="shared" si="4"/>
        <v>0.32282134221761277</v>
      </c>
      <c r="F24">
        <f t="shared" si="5"/>
        <v>0.67717865778238728</v>
      </c>
      <c r="G24">
        <f t="shared" si="6"/>
        <v>0.47671517480303116</v>
      </c>
      <c r="J24">
        <f t="shared" si="7"/>
        <v>1991</v>
      </c>
      <c r="K24">
        <f t="shared" si="8"/>
        <v>4017.0534696877003</v>
      </c>
    </row>
    <row r="25" spans="1:11" x14ac:dyDescent="0.25">
      <c r="A25">
        <f t="shared" si="1"/>
        <v>0.16259765625</v>
      </c>
      <c r="B25">
        <f t="shared" si="2"/>
        <v>0.63716901068255538</v>
      </c>
      <c r="C25">
        <f t="shared" si="0"/>
        <v>1.5694423037441334</v>
      </c>
      <c r="D25">
        <f t="shared" si="3"/>
        <v>0.10360218777211472</v>
      </c>
      <c r="E25">
        <f t="shared" si="4"/>
        <v>9.3876388539298333E-2</v>
      </c>
      <c r="F25">
        <f t="shared" si="5"/>
        <v>0.90612361146070164</v>
      </c>
      <c r="G25">
        <f t="shared" si="6"/>
        <v>0.10360218777211472</v>
      </c>
      <c r="J25">
        <f t="shared" si="7"/>
        <v>666</v>
      </c>
      <c r="K25">
        <f t="shared" si="8"/>
        <v>2609.8442677557468</v>
      </c>
    </row>
    <row r="26" spans="1:11" x14ac:dyDescent="0.25">
      <c r="A26">
        <f t="shared" si="1"/>
        <v>0.879150390625</v>
      </c>
      <c r="B26">
        <f t="shared" si="2"/>
        <v>0.93225622545651277</v>
      </c>
      <c r="C26">
        <f t="shared" si="0"/>
        <v>1.0726664759039974</v>
      </c>
      <c r="D26">
        <f t="shared" si="3"/>
        <v>0.81959342477268127</v>
      </c>
      <c r="E26">
        <f t="shared" si="4"/>
        <v>0.45042667972658323</v>
      </c>
      <c r="F26">
        <f t="shared" si="5"/>
        <v>0.54957332027341677</v>
      </c>
      <c r="G26">
        <f t="shared" si="6"/>
        <v>0.81959342477268116</v>
      </c>
      <c r="J26">
        <f t="shared" si="7"/>
        <v>3601</v>
      </c>
      <c r="K26">
        <f t="shared" si="8"/>
        <v>3818.5214994698763</v>
      </c>
    </row>
    <row r="27" spans="1:11" x14ac:dyDescent="0.25">
      <c r="A27">
        <f t="shared" si="1"/>
        <v>7.8125E-2</v>
      </c>
      <c r="B27">
        <f t="shared" si="2"/>
        <v>0.56916552205075277</v>
      </c>
      <c r="C27">
        <f t="shared" si="0"/>
        <v>1.7569581453158183</v>
      </c>
      <c r="D27">
        <f t="shared" si="3"/>
        <v>4.446605641021506E-2</v>
      </c>
      <c r="E27">
        <f t="shared" si="4"/>
        <v>4.2573002863341473E-2</v>
      </c>
      <c r="F27">
        <f t="shared" si="5"/>
        <v>0.95742699713665858</v>
      </c>
      <c r="G27">
        <f t="shared" si="6"/>
        <v>4.446605641021506E-2</v>
      </c>
      <c r="J27">
        <f t="shared" si="7"/>
        <v>320</v>
      </c>
      <c r="K27">
        <f t="shared" si="8"/>
        <v>2331.3019783198833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V27"/>
  <sheetViews>
    <sheetView workbookViewId="0">
      <selection activeCell="D2" sqref="D2"/>
    </sheetView>
  </sheetViews>
  <sheetFormatPr defaultRowHeight="15" x14ac:dyDescent="0.25"/>
  <cols>
    <col min="3" max="3" width="14.28515625" customWidth="1"/>
    <col min="4" max="4" width="16.5703125" customWidth="1"/>
    <col min="5" max="5" width="12.42578125" customWidth="1"/>
    <col min="6" max="6" width="13.5703125" customWidth="1"/>
    <col min="7" max="7" width="21" customWidth="1"/>
    <col min="9" max="9" width="9.7109375" customWidth="1"/>
    <col min="10" max="10" width="18.28515625" customWidth="1"/>
  </cols>
  <sheetData>
    <row r="1" spans="1:22" x14ac:dyDescent="0.25">
      <c r="A1" t="s">
        <v>0</v>
      </c>
      <c r="B1" t="s">
        <v>20</v>
      </c>
      <c r="C1" t="s">
        <v>13</v>
      </c>
      <c r="D1" t="s">
        <v>14</v>
      </c>
      <c r="E1" t="s">
        <v>16</v>
      </c>
      <c r="F1" t="s">
        <v>17</v>
      </c>
      <c r="G1" t="s">
        <v>21</v>
      </c>
      <c r="J1" t="s">
        <v>9</v>
      </c>
      <c r="U1" t="s">
        <v>18</v>
      </c>
      <c r="V1" t="s">
        <v>19</v>
      </c>
    </row>
    <row r="2" spans="1:22" x14ac:dyDescent="0.25">
      <c r="A2">
        <f>J2/$S$4</f>
        <v>1.220703125E-4</v>
      </c>
      <c r="B2">
        <f>K2/$S$4</f>
        <v>2.9296874999999999E-4</v>
      </c>
      <c r="C2">
        <v>3413.3333333333335</v>
      </c>
      <c r="D2">
        <v>5.960464477539062E-9</v>
      </c>
      <c r="E2">
        <v>0.99999996423721371</v>
      </c>
      <c r="F2">
        <v>7.7663389935258585E-106</v>
      </c>
      <c r="G2">
        <v>1.7319514908468006E-56</v>
      </c>
      <c r="J2">
        <f>N4</f>
        <v>0.5</v>
      </c>
      <c r="K2">
        <f>O4</f>
        <v>1.2</v>
      </c>
      <c r="N2" t="s">
        <v>15</v>
      </c>
      <c r="U2">
        <v>6</v>
      </c>
      <c r="V2">
        <v>7</v>
      </c>
    </row>
    <row r="3" spans="1:22" x14ac:dyDescent="0.25">
      <c r="A3">
        <f t="shared" ref="A3:B27" si="0">J3/$S$4</f>
        <v>1.953125E-3</v>
      </c>
      <c r="B3">
        <f t="shared" si="0"/>
        <v>4.8925781249999998E-3</v>
      </c>
      <c r="C3">
        <v>204.39121756487026</v>
      </c>
      <c r="D3">
        <v>1.5926361083984374E-6</v>
      </c>
      <c r="E3">
        <v>0.99999044422900618</v>
      </c>
      <c r="F3">
        <v>2.7484390355633612E-74</v>
      </c>
      <c r="G3">
        <v>1.6841785982969618E-39</v>
      </c>
      <c r="J3">
        <f>MOD($P$4*J2^2+$Q$4*J2+$R$4,$S$4)</f>
        <v>8</v>
      </c>
      <c r="K3">
        <f>MOD($P$4*K2^2+$Q$4*K2+$R$4,$S$4)</f>
        <v>20.04</v>
      </c>
      <c r="N3" t="s">
        <v>10</v>
      </c>
      <c r="O3" t="s">
        <v>11</v>
      </c>
      <c r="P3" t="s">
        <v>1</v>
      </c>
      <c r="Q3" t="s">
        <v>2</v>
      </c>
      <c r="R3" t="s">
        <v>3</v>
      </c>
      <c r="S3" t="s">
        <v>4</v>
      </c>
    </row>
    <row r="4" spans="1:22" x14ac:dyDescent="0.25">
      <c r="A4">
        <f t="shared" si="0"/>
        <v>0.108154296875</v>
      </c>
      <c r="B4">
        <f t="shared" si="0"/>
        <v>0.62326406249999999</v>
      </c>
      <c r="C4">
        <v>1.6044563775887528</v>
      </c>
      <c r="D4">
        <v>1.1234781074523926E-2</v>
      </c>
      <c r="E4">
        <v>0.93481307782203804</v>
      </c>
      <c r="F4">
        <v>2.7519451103605458E-24</v>
      </c>
      <c r="G4">
        <v>1.3997991356543378E-12</v>
      </c>
      <c r="J4">
        <f t="shared" ref="J4:K27" si="1">MOD($P$4*J3^2+$Q$4*J3+$R$4,$S$4)</f>
        <v>443</v>
      </c>
      <c r="K4">
        <f t="shared" si="1"/>
        <v>2552.8896</v>
      </c>
      <c r="N4">
        <v>0.5</v>
      </c>
      <c r="O4">
        <v>1.2</v>
      </c>
      <c r="P4">
        <v>6</v>
      </c>
      <c r="Q4">
        <v>7</v>
      </c>
      <c r="R4">
        <v>3</v>
      </c>
      <c r="S4">
        <v>4096</v>
      </c>
    </row>
    <row r="5" spans="1:22" x14ac:dyDescent="0.25">
      <c r="A5">
        <f t="shared" si="0"/>
        <v>0.23193359375</v>
      </c>
      <c r="B5">
        <f t="shared" si="0"/>
        <v>0.10964011937539908</v>
      </c>
      <c r="C5">
        <v>9.1207489165173126</v>
      </c>
      <c r="D5">
        <v>4.238204484319219E-3</v>
      </c>
      <c r="E5">
        <v>0.97489137260310121</v>
      </c>
      <c r="F5">
        <v>8.9928224615311987E-30</v>
      </c>
      <c r="G5">
        <v>1.5649254747274742E-15</v>
      </c>
      <c r="J5">
        <f t="shared" si="1"/>
        <v>950</v>
      </c>
      <c r="K5">
        <f t="shared" si="1"/>
        <v>449.08592896163464</v>
      </c>
    </row>
    <row r="6" spans="1:22" x14ac:dyDescent="0.25">
      <c r="A6">
        <f t="shared" si="0"/>
        <v>0.645751953125</v>
      </c>
      <c r="B6">
        <f t="shared" si="0"/>
        <v>0.1952224244964782</v>
      </c>
      <c r="C6">
        <v>5.1223623647704466</v>
      </c>
      <c r="D6">
        <v>2.1010876985399773E-2</v>
      </c>
      <c r="E6">
        <v>0.88155731277621474</v>
      </c>
      <c r="F6">
        <v>8.8838230382139779E-21</v>
      </c>
      <c r="G6">
        <v>1.0774052448785077E-10</v>
      </c>
      <c r="J6">
        <f t="shared" si="1"/>
        <v>2645</v>
      </c>
      <c r="K6">
        <f t="shared" si="1"/>
        <v>799.6310507375747</v>
      </c>
    </row>
    <row r="7" spans="1:22" x14ac:dyDescent="0.25">
      <c r="A7">
        <f t="shared" si="0"/>
        <v>0.6044921875</v>
      </c>
      <c r="B7">
        <f t="shared" si="0"/>
        <v>2.7639592846071537E-3</v>
      </c>
      <c r="C7">
        <v>361.79983025405954</v>
      </c>
      <c r="D7">
        <v>2.784652990188522E-4</v>
      </c>
      <c r="E7">
        <v>0.99833060320147271</v>
      </c>
      <c r="F7">
        <v>3.9162776326811746E-45</v>
      </c>
      <c r="G7">
        <v>8.4040548535944223E-24</v>
      </c>
      <c r="J7">
        <f t="shared" si="1"/>
        <v>2476</v>
      </c>
      <c r="K7">
        <f t="shared" si="1"/>
        <v>11.321177229750901</v>
      </c>
    </row>
    <row r="8" spans="1:22" x14ac:dyDescent="0.25">
      <c r="A8">
        <f t="shared" si="0"/>
        <v>0.568115234375</v>
      </c>
      <c r="B8">
        <f t="shared" si="0"/>
        <v>0.20782777436836869</v>
      </c>
      <c r="C8">
        <v>4.8116764135073167</v>
      </c>
      <c r="D8">
        <v>1.9678354124153398E-2</v>
      </c>
      <c r="E8">
        <v>0.88863373520686006</v>
      </c>
      <c r="F8">
        <v>3.8207782629437258E-21</v>
      </c>
      <c r="G8">
        <v>6.8467113657425823E-11</v>
      </c>
      <c r="J8">
        <f t="shared" si="1"/>
        <v>2327</v>
      </c>
      <c r="K8">
        <f t="shared" si="1"/>
        <v>851.26256381283815</v>
      </c>
    </row>
    <row r="9" spans="1:22" x14ac:dyDescent="0.25">
      <c r="A9">
        <f t="shared" si="0"/>
        <v>2.44140625E-3</v>
      </c>
      <c r="B9">
        <f t="shared" si="0"/>
        <v>0.9515510844551045</v>
      </c>
      <c r="C9">
        <v>1.0509157273176135</v>
      </c>
      <c r="D9">
        <v>3.8718712746382833E-4</v>
      </c>
      <c r="E9">
        <v>0.99767957359651005</v>
      </c>
      <c r="F9">
        <v>2.8414362649347755E-43</v>
      </c>
      <c r="G9">
        <v>8.440124043169374E-23</v>
      </c>
      <c r="J9">
        <f t="shared" si="1"/>
        <v>10</v>
      </c>
      <c r="K9">
        <f t="shared" si="1"/>
        <v>3897.553241928108</v>
      </c>
    </row>
    <row r="10" spans="1:22" x14ac:dyDescent="0.25">
      <c r="A10">
        <f t="shared" si="0"/>
        <v>0.164306640625</v>
      </c>
      <c r="B10">
        <f t="shared" si="0"/>
        <v>0.98767448225771659</v>
      </c>
      <c r="C10">
        <v>1.0124793319698902</v>
      </c>
      <c r="D10">
        <v>2.7046912701800263E-2</v>
      </c>
      <c r="E10">
        <v>0.85020185918319469</v>
      </c>
      <c r="F10">
        <v>2.2836373986631477E-19</v>
      </c>
      <c r="G10">
        <v>6.1622193038085513E-10</v>
      </c>
      <c r="J10">
        <f t="shared" si="1"/>
        <v>673</v>
      </c>
      <c r="K10">
        <f t="shared" si="1"/>
        <v>4045.5146793276072</v>
      </c>
    </row>
    <row r="11" spans="1:22" x14ac:dyDescent="0.25">
      <c r="A11">
        <f t="shared" si="0"/>
        <v>0.62109375</v>
      </c>
      <c r="B11">
        <f t="shared" si="0"/>
        <v>0.82415202299671364</v>
      </c>
      <c r="C11">
        <v>1.2133683739122334</v>
      </c>
      <c r="D11">
        <v>8.5312611755519185E-2</v>
      </c>
      <c r="E11">
        <v>0.59937016631187023</v>
      </c>
      <c r="F11">
        <v>4.9254080644645752E-13</v>
      </c>
      <c r="G11">
        <v>1.5269235857536214E-6</v>
      </c>
      <c r="J11">
        <f t="shared" si="1"/>
        <v>2544</v>
      </c>
      <c r="K11">
        <f t="shared" si="1"/>
        <v>3375.7266861945391</v>
      </c>
    </row>
    <row r="12" spans="1:22" x14ac:dyDescent="0.25">
      <c r="A12">
        <f t="shared" si="0"/>
        <v>0.723388671875</v>
      </c>
      <c r="B12">
        <f t="shared" si="0"/>
        <v>0.44166165018032189</v>
      </c>
      <c r="C12">
        <v>2.2641766601010511</v>
      </c>
      <c r="D12">
        <v>5.3248839090343981E-2</v>
      </c>
      <c r="E12">
        <v>0.72651725609083495</v>
      </c>
      <c r="F12">
        <v>1.3027251891181991E-15</v>
      </c>
      <c r="G12">
        <v>6.3755880880646173E-8</v>
      </c>
      <c r="J12">
        <f t="shared" si="1"/>
        <v>2963</v>
      </c>
      <c r="K12">
        <f t="shared" si="1"/>
        <v>1809.0461191385984</v>
      </c>
    </row>
    <row r="13" spans="1:22" x14ac:dyDescent="0.25">
      <c r="A13">
        <f t="shared" si="0"/>
        <v>0.46826171875</v>
      </c>
      <c r="B13">
        <f t="shared" si="0"/>
        <v>1.0129359500751889E-2</v>
      </c>
      <c r="C13">
        <v>98.722925168740559</v>
      </c>
      <c r="D13">
        <v>7.9053188160978693E-4</v>
      </c>
      <c r="E13">
        <v>0.99526803987793777</v>
      </c>
      <c r="F13">
        <v>3.0371561888985806E-39</v>
      </c>
      <c r="G13">
        <v>1.246343373031371E-20</v>
      </c>
      <c r="J13">
        <f t="shared" si="1"/>
        <v>1918</v>
      </c>
      <c r="K13">
        <f t="shared" si="1"/>
        <v>41.489856515079737</v>
      </c>
    </row>
    <row r="14" spans="1:22" x14ac:dyDescent="0.25">
      <c r="A14">
        <f t="shared" si="0"/>
        <v>3.4423828125E-2</v>
      </c>
      <c r="B14">
        <f t="shared" si="0"/>
        <v>0.5932319720353969</v>
      </c>
      <c r="C14">
        <v>1.6856812295011168</v>
      </c>
      <c r="D14">
        <v>3.4035525739335515E-3</v>
      </c>
      <c r="E14">
        <v>0.9797857874515945</v>
      </c>
      <c r="F14">
        <v>5.2218953739669641E-31</v>
      </c>
      <c r="G14">
        <v>3.3821644158211429E-16</v>
      </c>
      <c r="J14">
        <f t="shared" si="1"/>
        <v>141</v>
      </c>
      <c r="K14">
        <f t="shared" si="1"/>
        <v>2429.8781574569857</v>
      </c>
    </row>
    <row r="15" spans="1:22" x14ac:dyDescent="0.25">
      <c r="A15">
        <f t="shared" si="0"/>
        <v>0.3642578125</v>
      </c>
      <c r="B15">
        <f t="shared" si="0"/>
        <v>4.1823149787887814E-2</v>
      </c>
      <c r="C15">
        <v>23.910202963469882</v>
      </c>
      <c r="D15">
        <v>2.5390681755993092E-3</v>
      </c>
      <c r="E15">
        <v>0.98488104750827032</v>
      </c>
      <c r="F15">
        <v>1.1633904476169939E-32</v>
      </c>
      <c r="G15">
        <v>4.3640280368419864E-17</v>
      </c>
      <c r="J15">
        <f t="shared" si="1"/>
        <v>1492</v>
      </c>
      <c r="K15">
        <f t="shared" si="1"/>
        <v>171.30762153118849</v>
      </c>
    </row>
    <row r="16" spans="1:22" x14ac:dyDescent="0.25">
      <c r="A16">
        <f t="shared" si="0"/>
        <v>0.386474609375</v>
      </c>
      <c r="B16">
        <f t="shared" si="0"/>
        <v>0.28124036102436634</v>
      </c>
      <c r="C16">
        <v>3.5556774154238879</v>
      </c>
      <c r="D16">
        <v>1.811537644456266E-2</v>
      </c>
      <c r="E16">
        <v>0.89700642097359096</v>
      </c>
      <c r="F16">
        <v>1.31518328370811E-21</v>
      </c>
      <c r="G16">
        <v>3.859945588126065E-11</v>
      </c>
      <c r="J16">
        <f t="shared" si="1"/>
        <v>1583</v>
      </c>
      <c r="K16">
        <f t="shared" si="1"/>
        <v>1151.9605187558045</v>
      </c>
    </row>
    <row r="17" spans="1:11" x14ac:dyDescent="0.25">
      <c r="A17">
        <f t="shared" si="0"/>
        <v>0.44189453125</v>
      </c>
      <c r="B17">
        <f t="shared" si="0"/>
        <v>0.83616803323820932</v>
      </c>
      <c r="C17">
        <v>1.195931870448721</v>
      </c>
      <c r="D17">
        <v>6.1583013515672157E-2</v>
      </c>
      <c r="E17">
        <v>0.69108109289489228</v>
      </c>
      <c r="F17">
        <v>8.2053327471207838E-15</v>
      </c>
      <c r="G17">
        <v>1.7082004971728135E-7</v>
      </c>
      <c r="J17">
        <f t="shared" si="1"/>
        <v>1810</v>
      </c>
      <c r="K17">
        <f t="shared" si="1"/>
        <v>3424.9442641437054</v>
      </c>
    </row>
    <row r="18" spans="1:11" x14ac:dyDescent="0.25">
      <c r="A18">
        <f t="shared" si="0"/>
        <v>6.8603515625E-2</v>
      </c>
      <c r="B18">
        <f t="shared" si="0"/>
        <v>0.82736445171030937</v>
      </c>
      <c r="C18">
        <v>1.2086571980858281</v>
      </c>
      <c r="D18">
        <v>9.4600183484129623E-3</v>
      </c>
      <c r="E18">
        <v>0.94482069513383216</v>
      </c>
      <c r="F18">
        <v>2.9752271400412599E-25</v>
      </c>
      <c r="G18">
        <v>4.2308169418600862E-13</v>
      </c>
      <c r="J18">
        <f t="shared" si="1"/>
        <v>281</v>
      </c>
      <c r="K18">
        <f t="shared" si="1"/>
        <v>3388.8847942054272</v>
      </c>
    </row>
    <row r="19" spans="1:11" x14ac:dyDescent="0.25">
      <c r="A19">
        <f t="shared" si="0"/>
        <v>0.146484375</v>
      </c>
      <c r="B19">
        <f t="shared" si="0"/>
        <v>0.84914158691390185</v>
      </c>
      <c r="C19">
        <v>1.1776599043209908</v>
      </c>
      <c r="D19">
        <v>2.0730995774265182E-2</v>
      </c>
      <c r="E19">
        <v>0.8830389444421497</v>
      </c>
      <c r="F19">
        <v>7.4750996036676279E-21</v>
      </c>
      <c r="G19">
        <v>9.8195590996575978E-11</v>
      </c>
      <c r="J19">
        <f t="shared" si="1"/>
        <v>600</v>
      </c>
      <c r="K19">
        <f t="shared" si="1"/>
        <v>3478.083939999342</v>
      </c>
    </row>
    <row r="20" spans="1:11" x14ac:dyDescent="0.25">
      <c r="A20">
        <f t="shared" si="0"/>
        <v>0.369873046875</v>
      </c>
      <c r="B20">
        <f t="shared" si="0"/>
        <v>0.25902091505486169</v>
      </c>
      <c r="C20">
        <v>3.8606920981195509</v>
      </c>
      <c r="D20">
        <v>1.5967475842615375E-2</v>
      </c>
      <c r="E20">
        <v>0.90864131552540606</v>
      </c>
      <c r="F20">
        <v>2.5824918946983686E-22</v>
      </c>
      <c r="G20">
        <v>1.6091719535060781E-11</v>
      </c>
      <c r="J20">
        <f t="shared" si="1"/>
        <v>1515</v>
      </c>
      <c r="K20">
        <f t="shared" si="1"/>
        <v>1060.9496680647135</v>
      </c>
    </row>
    <row r="21" spans="1:11" x14ac:dyDescent="0.25">
      <c r="A21">
        <f t="shared" si="0"/>
        <v>0.73583984375</v>
      </c>
      <c r="B21">
        <f t="shared" si="0"/>
        <v>0.66280192290241757</v>
      </c>
      <c r="C21">
        <v>1.5087463772298486</v>
      </c>
      <c r="D21">
        <v>8.1286010564285749E-2</v>
      </c>
      <c r="E21">
        <v>0.6140270922104295</v>
      </c>
      <c r="F21">
        <v>2.6913368687881381E-13</v>
      </c>
      <c r="G21">
        <v>1.1053822083585557E-6</v>
      </c>
      <c r="J21">
        <f t="shared" si="1"/>
        <v>3014</v>
      </c>
      <c r="K21">
        <f t="shared" si="1"/>
        <v>2714.8366762083024</v>
      </c>
    </row>
    <row r="22" spans="1:11" x14ac:dyDescent="0.25">
      <c r="A22">
        <f t="shared" si="0"/>
        <v>7.9345703125E-2</v>
      </c>
      <c r="B22">
        <f t="shared" si="0"/>
        <v>3.4162023415774456E-2</v>
      </c>
      <c r="C22">
        <v>29.272270785290949</v>
      </c>
      <c r="D22">
        <v>4.5176829468288976E-4</v>
      </c>
      <c r="E22">
        <v>0.99729306061748357</v>
      </c>
      <c r="F22">
        <v>2.1100975612527567E-42</v>
      </c>
      <c r="G22">
        <v>2.4842799438881584E-22</v>
      </c>
      <c r="J22">
        <f t="shared" si="1"/>
        <v>325</v>
      </c>
      <c r="K22">
        <f t="shared" si="1"/>
        <v>139.92764791101217</v>
      </c>
    </row>
    <row r="23" spans="1:11" x14ac:dyDescent="0.25">
      <c r="A23">
        <f t="shared" si="0"/>
        <v>0.2802734375</v>
      </c>
      <c r="B23">
        <f t="shared" si="0"/>
        <v>0.92113609248686856</v>
      </c>
      <c r="C23">
        <v>1.0856159129539871</v>
      </c>
      <c r="D23">
        <v>4.3028329841102095E-2</v>
      </c>
      <c r="E23">
        <v>0.77246391658409264</v>
      </c>
      <c r="F23">
        <v>8.6748418559153783E-17</v>
      </c>
      <c r="G23">
        <v>1.4925760480698212E-8</v>
      </c>
      <c r="J23">
        <f t="shared" si="1"/>
        <v>1148</v>
      </c>
      <c r="K23">
        <f t="shared" si="1"/>
        <v>3772.9734348262136</v>
      </c>
    </row>
    <row r="24" spans="1:11" x14ac:dyDescent="0.25">
      <c r="A24">
        <f t="shared" si="0"/>
        <v>0.486083984375</v>
      </c>
      <c r="B24">
        <f t="shared" si="0"/>
        <v>0.9807259447479737</v>
      </c>
      <c r="C24">
        <v>1.0196528452777696</v>
      </c>
      <c r="D24">
        <v>7.9452529133838531E-2</v>
      </c>
      <c r="E24">
        <v>0.62081924161948432</v>
      </c>
      <c r="F24">
        <v>2.022742575721601E-13</v>
      </c>
      <c r="G24">
        <v>9.4885929330634753E-7</v>
      </c>
      <c r="J24">
        <f t="shared" si="1"/>
        <v>1991</v>
      </c>
      <c r="K24">
        <f t="shared" si="1"/>
        <v>4017.0534696877003</v>
      </c>
    </row>
    <row r="25" spans="1:11" x14ac:dyDescent="0.25">
      <c r="A25">
        <f t="shared" si="0"/>
        <v>0.16259765625</v>
      </c>
      <c r="B25">
        <f t="shared" si="0"/>
        <v>0.63716901068255538</v>
      </c>
      <c r="C25">
        <v>1.5694423037441334</v>
      </c>
      <c r="D25">
        <v>1.7267031295352453E-2</v>
      </c>
      <c r="E25">
        <v>0.90158388718196947</v>
      </c>
      <c r="F25">
        <v>7.086159723752059E-22</v>
      </c>
      <c r="G25">
        <v>2.7684317948631938E-11</v>
      </c>
      <c r="J25">
        <f t="shared" si="1"/>
        <v>666</v>
      </c>
      <c r="K25">
        <f t="shared" si="1"/>
        <v>2609.8442677557468</v>
      </c>
    </row>
    <row r="26" spans="1:11" x14ac:dyDescent="0.25">
      <c r="A26">
        <f t="shared" si="0"/>
        <v>0.879150390625</v>
      </c>
      <c r="B26">
        <f t="shared" si="0"/>
        <v>0.93225622545651277</v>
      </c>
      <c r="C26">
        <v>1.0726664759039974</v>
      </c>
      <c r="D26">
        <v>0.1365989041287802</v>
      </c>
      <c r="E26">
        <v>0.44060847597133834</v>
      </c>
      <c r="F26">
        <v>1.6460447996125851E-10</v>
      </c>
      <c r="G26">
        <v>3.3988379123354232E-5</v>
      </c>
      <c r="J26">
        <f t="shared" si="1"/>
        <v>3601</v>
      </c>
      <c r="K26">
        <f t="shared" si="1"/>
        <v>3818.5214994698763</v>
      </c>
    </row>
    <row r="27" spans="1:11" x14ac:dyDescent="0.25">
      <c r="A27">
        <f t="shared" si="0"/>
        <v>7.8125E-2</v>
      </c>
      <c r="B27">
        <f t="shared" si="0"/>
        <v>0.56916552205075277</v>
      </c>
      <c r="C27">
        <v>1.7569581453158183</v>
      </c>
      <c r="D27">
        <v>7.4110094017025094E-3</v>
      </c>
      <c r="E27">
        <v>0.95650806686003531</v>
      </c>
      <c r="F27">
        <v>1.2608672887784522E-26</v>
      </c>
      <c r="G27">
        <v>7.7244272049520593E-14</v>
      </c>
      <c r="J27">
        <f t="shared" si="1"/>
        <v>320</v>
      </c>
      <c r="K27">
        <f t="shared" si="1"/>
        <v>2331.3019783198833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8</xdr:col>
                <xdr:colOff>95250</xdr:colOff>
                <xdr:row>29</xdr:row>
                <xdr:rowOff>47625</xdr:rowOff>
              </from>
              <to>
                <xdr:col>9</xdr:col>
                <xdr:colOff>962025</xdr:colOff>
                <xdr:row>34</xdr:row>
                <xdr:rowOff>38100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task1</vt:lpstr>
      <vt:lpstr>task2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2025-05-03T17:17:11Z</dcterms:modified>
</cp:coreProperties>
</file>